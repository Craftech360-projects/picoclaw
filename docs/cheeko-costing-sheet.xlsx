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icoclaw\docs\"/>
    </mc:Choice>
  </mc:AlternateContent>
  <xr:revisionPtr revIDLastSave="0" documentId="13_ncr:1_{0D1A90AD-E877-4715-B7B1-48853B44F0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ing" sheetId="1" r:id="rId1"/>
  </sheets>
  <calcPr calcId="181029"/>
</workbook>
</file>

<file path=xl/calcChain.xml><?xml version="1.0" encoding="utf-8"?>
<calcChain xmlns="http://schemas.openxmlformats.org/spreadsheetml/2006/main">
  <c r="D43" i="1" l="1"/>
  <c r="D42" i="1"/>
  <c r="E42" i="1" s="1"/>
  <c r="D39" i="1"/>
  <c r="E39" i="1" s="1"/>
  <c r="C39" i="1"/>
  <c r="D38" i="1"/>
  <c r="E38" i="1" s="1"/>
  <c r="C38" i="1"/>
  <c r="D37" i="1"/>
  <c r="E37" i="1" s="1"/>
  <c r="C37" i="1"/>
  <c r="D36" i="1"/>
  <c r="E36" i="1" s="1"/>
  <c r="C36" i="1"/>
  <c r="D35" i="1"/>
  <c r="E35" i="1" s="1"/>
  <c r="C35" i="1"/>
  <c r="D34" i="1"/>
  <c r="E34" i="1" s="1"/>
  <c r="B34" i="1"/>
  <c r="C34" i="1" s="1"/>
  <c r="B33" i="1"/>
  <c r="C33" i="1" s="1"/>
  <c r="D32" i="1"/>
  <c r="E32" i="1" s="1"/>
  <c r="C32" i="1"/>
  <c r="D31" i="1"/>
  <c r="E31" i="1" s="1"/>
  <c r="C31" i="1"/>
  <c r="D27" i="1"/>
  <c r="E27" i="1" s="1"/>
  <c r="D26" i="1"/>
  <c r="E26" i="1" s="1"/>
  <c r="C25" i="1"/>
  <c r="B25" i="1"/>
  <c r="D25" i="1" s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6" i="1"/>
  <c r="E16" i="1" s="1"/>
  <c r="C16" i="1"/>
  <c r="D15" i="1"/>
  <c r="E15" i="1" s="1"/>
  <c r="C15" i="1"/>
  <c r="D14" i="1"/>
  <c r="E14" i="1" s="1"/>
  <c r="C14" i="1"/>
  <c r="D13" i="1"/>
  <c r="E13" i="1" s="1"/>
  <c r="C13" i="1"/>
  <c r="D12" i="1"/>
  <c r="E12" i="1" s="1"/>
  <c r="C12" i="1"/>
  <c r="D11" i="1"/>
  <c r="E11" i="1" s="1"/>
  <c r="C11" i="1"/>
  <c r="D10" i="1"/>
  <c r="C56" i="1" s="1"/>
  <c r="C10" i="1"/>
  <c r="D9" i="1"/>
  <c r="C51" i="1" s="1"/>
  <c r="C9" i="1"/>
  <c r="D33" i="1" l="1"/>
  <c r="E33" i="1" s="1"/>
  <c r="D56" i="1"/>
  <c r="E56" i="1"/>
  <c r="F56" i="1" s="1"/>
  <c r="G56" i="1" s="1"/>
  <c r="H56" i="1"/>
  <c r="I56" i="1" s="1"/>
  <c r="F59" i="1"/>
  <c r="D51" i="1"/>
  <c r="H51" i="1"/>
  <c r="I51" i="1" s="1"/>
  <c r="E51" i="1"/>
  <c r="F51" i="1" s="1"/>
  <c r="G51" i="1" s="1"/>
  <c r="C58" i="1"/>
  <c r="C48" i="1"/>
  <c r="C55" i="1"/>
  <c r="E10" i="1"/>
  <c r="C50" i="1"/>
  <c r="E43" i="1"/>
  <c r="C57" i="1"/>
  <c r="C52" i="1"/>
  <c r="C54" i="1"/>
  <c r="E9" i="1"/>
  <c r="C49" i="1"/>
  <c r="C53" i="1" l="1"/>
  <c r="C59" i="1"/>
  <c r="H48" i="1"/>
  <c r="I48" i="1" s="1"/>
  <c r="E48" i="1"/>
  <c r="F48" i="1" s="1"/>
  <c r="G48" i="1" s="1"/>
  <c r="D48" i="1"/>
  <c r="D58" i="1"/>
  <c r="H58" i="1"/>
  <c r="I58" i="1" s="1"/>
  <c r="E58" i="1"/>
  <c r="F58" i="1" s="1"/>
  <c r="G58" i="1" s="1"/>
  <c r="E49" i="1"/>
  <c r="F49" i="1" s="1"/>
  <c r="G49" i="1" s="1"/>
  <c r="D49" i="1"/>
  <c r="D59" i="1"/>
  <c r="H49" i="1"/>
  <c r="I49" i="1" s="1"/>
  <c r="E54" i="1"/>
  <c r="F54" i="1" s="1"/>
  <c r="G54" i="1" s="1"/>
  <c r="D54" i="1"/>
  <c r="H54" i="1"/>
  <c r="I54" i="1" s="1"/>
  <c r="H52" i="1"/>
  <c r="I52" i="1" s="1"/>
  <c r="E52" i="1"/>
  <c r="F52" i="1" s="1"/>
  <c r="G52" i="1" s="1"/>
  <c r="D52" i="1"/>
  <c r="H57" i="1"/>
  <c r="I57" i="1" s="1"/>
  <c r="E57" i="1"/>
  <c r="F57" i="1" s="1"/>
  <c r="G57" i="1" s="1"/>
  <c r="D57" i="1"/>
  <c r="H50" i="1"/>
  <c r="I50" i="1" s="1"/>
  <c r="E59" i="1"/>
  <c r="G59" i="1" s="1"/>
  <c r="E50" i="1"/>
  <c r="F50" i="1" s="1"/>
  <c r="G50" i="1" s="1"/>
  <c r="D50" i="1"/>
  <c r="H55" i="1"/>
  <c r="I55" i="1" s="1"/>
  <c r="E55" i="1"/>
  <c r="F55" i="1" s="1"/>
  <c r="G55" i="1" s="1"/>
  <c r="D55" i="1"/>
  <c r="D53" i="1" l="1"/>
  <c r="H53" i="1"/>
  <c r="I53" i="1" s="1"/>
  <c r="E53" i="1"/>
  <c r="F53" i="1" s="1"/>
  <c r="G53" i="1" s="1"/>
</calcChain>
</file>

<file path=xl/sharedStrings.xml><?xml version="1.0" encoding="utf-8"?>
<sst xmlns="http://schemas.openxmlformats.org/spreadsheetml/2006/main" count="131" uniqueCount="120">
  <si>
    <t>Cheeko voice agent — costing sheet (single page)</t>
  </si>
  <si>
    <t>Prices verified 2026-07-10 (two deep-research runs, official pages). Inputs = CONSERVATIVE PLANNING values for kids' daily use. MEASURED (dev+prod DBs, 1,647 session-min): 14,300 in-tok/min, 153 TTS chars/min, 58 out-tok/min, 1.6 msgs/min, avg session 15 min. Blue = inputs. Yellow = CURRENT stack. Green = recommended/candidate.</t>
  </si>
  <si>
    <t>USD→INR:</t>
  </si>
  <si>
    <t>Min/day per device:</t>
  </si>
  <si>
    <t>Devices:</t>
  </si>
  <si>
    <t>LLM in tok/min:</t>
  </si>
  <si>
    <t>LLM out tok/min:</t>
  </si>
  <si>
    <t>TTS chars/min:</t>
  </si>
  <si>
    <t>STT audio-min per session-min:</t>
  </si>
  <si>
    <t>LiveKit participants:</t>
  </si>
  <si>
    <t>Trimmed LLM in tok/min:</t>
  </si>
  <si>
    <t>1. STT PROVIDERS</t>
  </si>
  <si>
    <t>Provider / Model</t>
  </si>
  <si>
    <t>$ / audio-min</t>
  </si>
  <si>
    <t>₹ / audio-min</t>
  </si>
  <si>
    <t>$ / session-min</t>
  </si>
  <si>
    <t>₹ / session-min</t>
  </si>
  <si>
    <t>Note</t>
  </si>
  <si>
    <t>Sarvam — saaras:v3  (CURRENT)</t>
  </si>
  <si>
    <t>₹30/hr; INR-billed; best Indic accuracy</t>
  </si>
  <si>
    <t>Mistral — Voxtral Mini Transcribe V2</t>
  </si>
  <si>
    <t>Cheapest; ~4% WER; A/B on kids' speech</t>
  </si>
  <si>
    <t>Deepgram — nova-3 mono PAYG</t>
  </si>
  <si>
    <t>Current featured Deepgram model</t>
  </si>
  <si>
    <t>Deepgram — nova-3 mono Growth</t>
  </si>
  <si>
    <t>Needs ~$4k+/yr prepay</t>
  </si>
  <si>
    <t>Deepgram — nova-2 (legacy)</t>
  </si>
  <si>
    <t>Off public price sheet</t>
  </si>
  <si>
    <t>ElevenLabs — Scribe v2 Realtime</t>
  </si>
  <si>
    <t>$0.39/hr</t>
  </si>
  <si>
    <t>Cartesia — Ink-2</t>
  </si>
  <si>
    <t>Credit bundles only</t>
  </si>
  <si>
    <t>Speechmatics — Enhanced realtime</t>
  </si>
  <si>
    <t>$1.35/hr; prices itself out</t>
  </si>
  <si>
    <t>2. LLM PROVIDERS</t>
  </si>
  <si>
    <t>Input $/1M</t>
  </si>
  <si>
    <t>Output $/1M</t>
  </si>
  <si>
    <t>OpenRouter — gpt-4.1-mini  (CURRENT)</t>
  </si>
  <si>
    <t>Legacy at OpenAI but live on OpenRouter; price re-verified</t>
  </si>
  <si>
    <t>OpenAI — gpt-5.4-nano</t>
  </si>
  <si>
    <t>Newer-gen nano: clearly better than gpt-5-nano, half of 4.1-mini in-price; batch 50% off</t>
  </si>
  <si>
    <t>gpt-4.1-mini @ TRIMMED context</t>
  </si>
  <si>
    <t>After history trimming (F5) — lever #1</t>
  </si>
  <si>
    <t>Google — Gemini 2.5 Flash-Lite</t>
  </si>
  <si>
    <t>4x cheaper; ~381ms TTFT with thinking OFF; 2.5 retirement churn risk</t>
  </si>
  <si>
    <t>OpenRouter — GPT-5 Nano</t>
  </si>
  <si>
    <t>8x cheaper input; verified live on OpenRouter</t>
  </si>
  <si>
    <t>Sarvam — 30B (INR-billed)</t>
  </si>
  <si>
    <t>₹2.5/₹10 per 1M; 'free per token' promo now; Hindi quality unbenchmarked</t>
  </si>
  <si>
    <t>OpenRouter — gemma-4-31b-it</t>
  </si>
  <si>
    <t>Previous model; pin provider</t>
  </si>
  <si>
    <t>OpenAI — gpt-5-mini (via OpenRouter)</t>
  </si>
  <si>
    <t>Quality step above 5.4-nano; output pricier than 4.1-mini — fine at 58 out-tok/min</t>
  </si>
  <si>
    <t>3. TTS PROVIDERS</t>
  </si>
  <si>
    <t>$ / 1k chars</t>
  </si>
  <si>
    <t>₹ / 1k chars</t>
  </si>
  <si>
    <t>ElevenLabs — eleven_multilingual_v2  (CURRENT)</t>
  </si>
  <si>
    <t>Best quality; most expensive line in the stack</t>
  </si>
  <si>
    <t>ElevenLabs — Flash / Turbo</t>
  </si>
  <si>
    <t>Half of mv2, same vendor, lower latency</t>
  </si>
  <si>
    <t>Sarvam — Bulbul v2 (INR-billed)</t>
  </si>
  <si>
    <t>₹15/10k chars; 11 Indian langs, Hindi-English code-mixing; cheapest Hindi TTS</t>
  </si>
  <si>
    <t>Sarvam — Bulbul v3 (beta, INR-billed)</t>
  </si>
  <si>
    <t>₹30/10k; native Hinglish, Indian names, official LiveKit plugin, sub-250ms claimed (3rd-party disputes)</t>
  </si>
  <si>
    <t>Smallest.ai — Lightning V3.1</t>
  </si>
  <si>
    <t>Indian vendor; 2nd-cheapest Hindi TTS</t>
  </si>
  <si>
    <t>Deepgram — aura-2 PAYG</t>
  </si>
  <si>
    <t>Cheapest quality Western option</t>
  </si>
  <si>
    <t>Deepgram — aura-2 Growth</t>
  </si>
  <si>
    <t>With commit</t>
  </si>
  <si>
    <t>Kokoro-82M hosted (DeepInfra/Together)</t>
  </si>
  <si>
    <t>$7-10/1M chars; price floor but Hindi weak; NOT recommended for Hinglish</t>
  </si>
  <si>
    <t>Inworld — TTS-2 Realtime (on-demand)</t>
  </si>
  <si>
    <t>Hindi + 100 langs, WebSocket streaming, already a worker builder; $12.5/1M at Growth tier</t>
  </si>
  <si>
    <t>4. MODERATION + LIVEKIT (same in every stack)</t>
  </si>
  <si>
    <t>Item</t>
  </si>
  <si>
    <t>$ / unit</t>
  </si>
  <si>
    <t>OpenAI omni-moderation-latest  (CURRENT)</t>
  </si>
  <si>
    <t>FREE; Tier-5 5,000 RPM ≈ ~3,000 concurrent devices</t>
  </si>
  <si>
    <t>LiveKit participant minutes (Ship, 2/room)</t>
  </si>
  <si>
    <t>Worker self-hosted → no agent-compute fee; plan fee $50-500/mo separate</t>
  </si>
  <si>
    <t>Edge TTS (free Microsoft endpoint): REJECTED — no API contract, ToS does not authorize commercial use, repeated breakage (Sec-MS-GEC), no SLA. Legit equivalent = paid Azure Neural TTS ~$0.016/1k.</t>
  </si>
  <si>
    <t>5. TOTAL — COST PER CONVERSATION MINUTE</t>
  </si>
  <si>
    <t>Scenario</t>
  </si>
  <si>
    <t>Stack</t>
  </si>
  <si>
    <t>$ / min</t>
  </si>
  <si>
    <t>₹ / min</t>
  </si>
  <si>
    <t>$ / device-day</t>
  </si>
  <si>
    <t>$ / device-month</t>
  </si>
  <si>
    <t>₹ / device-month</t>
  </si>
  <si>
    <t>$ / hour</t>
  </si>
  <si>
    <t>₹ / hour</t>
  </si>
  <si>
    <t>CURRENT</t>
  </si>
  <si>
    <t>sarvam + gpt-4.1-mini + ElevenLabs mv2</t>
  </si>
  <si>
    <t>★ RECOMMENDED (safe)</t>
  </si>
  <si>
    <t>sarvam + gpt-4.1-mini TRIMMED + ElevenLabs Flash</t>
  </si>
  <si>
    <t>SARVAM STACK (Bulbul v2)</t>
  </si>
  <si>
    <t>saaras + Gemini 2.5 Flash-Lite + Bulbul v2 — needs quality A/B</t>
  </si>
  <si>
    <t>SARVAM STACK (Bulbul v3)</t>
  </si>
  <si>
    <t>saaras + Gemini 2.5 Flash-Lite + Bulbul v3 (better Hinglish)</t>
  </si>
  <si>
    <t>BUDGET (Western)</t>
  </si>
  <si>
    <t>nova-3 + gemma-4 + aura-2</t>
  </si>
  <si>
    <t>CHEAPEST POSSIBLE</t>
  </si>
  <si>
    <t>cheapest each stage (quality unverified)</t>
  </si>
  <si>
    <t>VALUE STACK</t>
  </si>
  <si>
    <t>Voxtral STT + GPT-5 Nano + Sarvam Bulbul v3</t>
  </si>
  <si>
    <t>VALUE + gpt-5-mini</t>
  </si>
  <si>
    <t>Voxtral + gpt-5-mini + Bulbul v3</t>
  </si>
  <si>
    <t>VALUE + gpt-4.1-mini</t>
  </si>
  <si>
    <t>Voxtral + gpt-4.1-mini + Bulbul v3</t>
  </si>
  <si>
    <t>saaras + gemma-4 + Bulbul v3</t>
  </si>
  <si>
    <t>Sarvam saaras STT + gemma-4 + Bulbul v3</t>
  </si>
  <si>
    <t>saaras + gemma-4 + EL mv2</t>
  </si>
  <si>
    <t>Sarvam saaras STT + gemma-4 + ElevenLabs mv2</t>
  </si>
  <si>
    <t>Heavy</t>
  </si>
  <si>
    <t>Notes:</t>
  </si>
  <si>
    <t>- Tiers must CAP daily minutes. Costs = raw API floor before margin, LiveKit plan fee, servers, S3, Supabase, EMQX, imagine (~$0.003/image).</t>
  </si>
  <si>
    <t>- SARVAM STACK caveats (research 2026-07-10): prices verified, QUALITY NOT — run Hindi/Hinglish listening tests + LLM eval before switching. Bulbul v3 = beta pricing; Sarvam LLM 'free' = promo; Gemini 2.5 Flash-Lite may be superseded by 3.5 family. Disable thinking/reasoning on any LLM in the voice loop.</t>
  </si>
  <si>
    <t>- Edge TTS rejected for production (see section 4). Rollout order: ① ElevenLabs Flash (config) ② trim LLM context ③ A/B Sarvam Bulbul + Flash-Lite ④ optional VAD-gate STT (B5≈0.4).</t>
  </si>
  <si>
    <t>- Sources: sarvam.ai/api-pricing + /text-to-speech, ai.google.dev/gemini-api/docs/pricing, openrouter.ai (gpt-5-nano, gpt-4.1-mini), smallest.ai/pricing, deepinfra.com/pricing, together.ai/pricing, deepgram.com/pricing, elevenlabs.io/pricing/api, speechmatics.com/pricing, mistral.ai (voxtral), livekit.com/pricing, OpenAI docs.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</si>
</sst>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\$0.00000"/>
    <numFmt numFmtId="166" formatCode="&quot;₹&quot;0.000"/>
    <numFmt numFmtId="167" formatCode="\$0.00"/>
    <numFmt numFmtId="168" formatCode="\$0.0000"/>
    <numFmt numFmtId="169" formatCode="&quot;₹&quot;0.00"/>
    <numFmt numFmtId="170" formatCode="\$#,##0.00"/>
    <numFmt numFmtId="171" formatCode="&quot;₹&quot;#,##0"/>
    <numFmt numFmtId="172" formatCode="&quot;₹&quot;#,##0.0"/>
  </numFmts>
  <fonts count="2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0"/>
      <name val="Arial"/>
    </font>
    <font>
      <sz val="10"/>
      <color rgb="FF0000FF"/>
      <name val="Arial"/>
    </font>
    <font>
      <b/>
      <sz val="11"/>
      <name val="Arial"/>
    </font>
    <font>
      <b/>
      <sz val="10"/>
      <color rgb="FFC00000"/>
      <name val="Arial"/>
    </font>
    <font>
      <sz val="10"/>
      <name val="Arial"/>
    </font>
    <font>
      <b/>
      <sz val="10"/>
      <color rgb="FF2E7D32"/>
      <name val="Arial"/>
    </font>
    <font>
      <b/>
      <sz val="10"/>
      <color rgb="FF2E7D32"/>
      <name val="Arial"/>
    </font>
    <font>
      <sz val="10"/>
      <color rgb="FF0000FF"/>
      <name val="Arial"/>
    </font>
    <font>
      <i/>
      <sz val="9"/>
      <color rgb="FF555555"/>
      <name val="Arial"/>
    </font>
    <font>
      <b/>
      <sz val="10"/>
      <color rgb="FF1F4E79"/>
      <name val="Arial"/>
    </font>
    <font>
      <i/>
      <sz val="9"/>
      <color rgb="FF555555"/>
      <name val="Arial"/>
    </font>
    <font>
      <b/>
      <sz val="10"/>
      <color rgb="FF1F4E79"/>
      <name val="Arial"/>
    </font>
    <font>
      <i/>
      <sz val="9"/>
      <color rgb="FF555555"/>
      <name val="Arial"/>
    </font>
    <font>
      <sz val="10"/>
      <color rgb="FF0000FF"/>
      <name val="Arial"/>
    </font>
    <font>
      <i/>
      <sz val="9"/>
      <color rgb="FF555555"/>
      <name val="Arial"/>
    </font>
    <font>
      <b/>
      <sz val="10"/>
      <color rgb="FF1F4E79"/>
      <name val="Arial"/>
    </font>
    <font>
      <i/>
      <sz val="9"/>
      <color rgb="FF5555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DEEAF6"/>
      </patternFill>
    </fill>
    <fill>
      <patternFill patternType="solid">
        <fgColor rgb="FFDEEAF6"/>
      </patternFill>
    </fill>
    <fill>
      <patternFill patternType="solid">
        <f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2" fontId="4" fillId="0" borderId="0" xfId="0" applyNumberFormat="1" applyFont="1"/>
    <xf numFmtId="1" fontId="4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0" fontId="5" fillId="2" borderId="0" xfId="0" applyFont="1" applyFill="1"/>
    <xf numFmtId="0" fontId="3" fillId="3" borderId="0" xfId="0" applyFont="1" applyFill="1"/>
    <xf numFmtId="0" fontId="6" fillId="4" borderId="0" xfId="0" applyFont="1" applyFill="1"/>
    <xf numFmtId="165" fontId="4" fillId="0" borderId="0" xfId="0" applyNumberFormat="1" applyFont="1"/>
    <xf numFmtId="166" fontId="7" fillId="0" borderId="0" xfId="0" applyNumberFormat="1" applyFont="1"/>
    <xf numFmtId="165" fontId="7" fillId="0" borderId="0" xfId="0" applyNumberFormat="1" applyFont="1"/>
    <xf numFmtId="0" fontId="2" fillId="0" borderId="0" xfId="0" applyFont="1"/>
    <xf numFmtId="0" fontId="7" fillId="0" borderId="0" xfId="0" applyFont="1"/>
    <xf numFmtId="167" fontId="4" fillId="0" borderId="0" xfId="0" applyNumberFormat="1" applyFont="1"/>
    <xf numFmtId="0" fontId="8" fillId="5" borderId="0" xfId="0" applyFont="1" applyFill="1"/>
    <xf numFmtId="167" fontId="7" fillId="0" borderId="0" xfId="0" applyNumberFormat="1" applyFont="1"/>
    <xf numFmtId="168" fontId="4" fillId="0" borderId="0" xfId="0" applyNumberFormat="1" applyFont="1"/>
    <xf numFmtId="169" fontId="7" fillId="0" borderId="0" xfId="0" applyNumberFormat="1" applyFont="1"/>
    <xf numFmtId="168" fontId="7" fillId="0" borderId="0" xfId="0" applyNumberFormat="1" applyFont="1"/>
    <xf numFmtId="170" fontId="7" fillId="0" borderId="0" xfId="0" applyNumberFormat="1" applyFont="1"/>
    <xf numFmtId="171" fontId="7" fillId="0" borderId="0" xfId="0" applyNumberFormat="1" applyFont="1"/>
    <xf numFmtId="171" fontId="7" fillId="5" borderId="0" xfId="0" applyNumberFormat="1" applyFont="1" applyFill="1"/>
    <xf numFmtId="0" fontId="3" fillId="6" borderId="0" xfId="0" applyFont="1" applyFill="1"/>
    <xf numFmtId="172" fontId="7" fillId="0" borderId="0" xfId="0" applyNumberFormat="1" applyFont="1"/>
    <xf numFmtId="0" fontId="9" fillId="7" borderId="0" xfId="0" applyFont="1" applyFill="1"/>
    <xf numFmtId="167" fontId="10" fillId="0" borderId="0" xfId="0" applyNumberFormat="1" applyFont="1"/>
    <xf numFmtId="0" fontId="11" fillId="0" borderId="0" xfId="0" applyFont="1"/>
    <xf numFmtId="0" fontId="12" fillId="8" borderId="0" xfId="0" applyFont="1" applyFill="1"/>
    <xf numFmtId="0" fontId="13" fillId="8" borderId="0" xfId="0" applyFont="1" applyFill="1"/>
    <xf numFmtId="165" fontId="7" fillId="8" borderId="0" xfId="0" applyNumberFormat="1" applyFont="1" applyFill="1"/>
    <xf numFmtId="166" fontId="7" fillId="8" borderId="0" xfId="0" applyNumberFormat="1" applyFont="1" applyFill="1"/>
    <xf numFmtId="167" fontId="7" fillId="8" borderId="0" xfId="0" applyNumberFormat="1" applyFont="1" applyFill="1"/>
    <xf numFmtId="170" fontId="7" fillId="8" borderId="0" xfId="0" applyNumberFormat="1" applyFont="1" applyFill="1"/>
    <xf numFmtId="171" fontId="7" fillId="8" borderId="0" xfId="0" applyNumberFormat="1" applyFont="1" applyFill="1"/>
    <xf numFmtId="172" fontId="7" fillId="8" borderId="0" xfId="0" applyNumberFormat="1" applyFont="1" applyFill="1"/>
    <xf numFmtId="0" fontId="14" fillId="9" borderId="0" xfId="0" applyFont="1" applyFill="1"/>
    <xf numFmtId="0" fontId="15" fillId="9" borderId="0" xfId="0" applyFont="1" applyFill="1"/>
    <xf numFmtId="165" fontId="7" fillId="9" borderId="0" xfId="0" applyNumberFormat="1" applyFont="1" applyFill="1"/>
    <xf numFmtId="166" fontId="7" fillId="9" borderId="0" xfId="0" applyNumberFormat="1" applyFont="1" applyFill="1"/>
    <xf numFmtId="167" fontId="7" fillId="9" borderId="0" xfId="0" applyNumberFormat="1" applyFont="1" applyFill="1"/>
    <xf numFmtId="170" fontId="7" fillId="9" borderId="0" xfId="0" applyNumberFormat="1" applyFont="1" applyFill="1"/>
    <xf numFmtId="171" fontId="7" fillId="9" borderId="0" xfId="0" applyNumberFormat="1" applyFont="1" applyFill="1"/>
    <xf numFmtId="172" fontId="7" fillId="9" borderId="0" xfId="0" applyNumberFormat="1" applyFont="1" applyFill="1"/>
    <xf numFmtId="168" fontId="16" fillId="0" borderId="0" xfId="0" applyNumberFormat="1" applyFont="1"/>
    <xf numFmtId="0" fontId="17" fillId="0" borderId="0" xfId="0" applyFont="1"/>
    <xf numFmtId="0" fontId="18" fillId="10" borderId="0" xfId="0" applyFont="1" applyFill="1"/>
    <xf numFmtId="1" fontId="19" fillId="10" borderId="0" xfId="0" applyNumberFormat="1" applyFont="1" applyFill="1"/>
    <xf numFmtId="165" fontId="7" fillId="10" borderId="0" xfId="0" applyNumberFormat="1" applyFont="1" applyFill="1"/>
    <xf numFmtId="166" fontId="7" fillId="10" borderId="0" xfId="0" applyNumberFormat="1" applyFont="1" applyFill="1"/>
    <xf numFmtId="167" fontId="7" fillId="10" borderId="0" xfId="0" applyNumberFormat="1" applyFont="1" applyFill="1"/>
    <xf numFmtId="170" fontId="7" fillId="10" borderId="0" xfId="0" applyNumberFormat="1" applyFont="1" applyFill="1"/>
    <xf numFmtId="171" fontId="7" fillId="10" borderId="0" xfId="0" applyNumberFormat="1" applyFont="1" applyFill="1"/>
    <xf numFmtId="172" fontId="7" fillId="10" borderId="0" xfId="0" applyNumberFormat="1" applyFont="1" applyFill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/>
  </sheetViews>
  <sheetFormatPr defaultRowHeight="15" x14ac:dyDescent="0.25"/>
  <cols>
    <col min="1" max="1" width="44" customWidth="1"/>
    <col min="2" max="3" width="16" customWidth="1"/>
    <col min="4" max="4" width="18" customWidth="1"/>
    <col min="5" max="5" width="16" customWidth="1"/>
    <col min="6" max="6" width="18" customWidth="1"/>
    <col min="7" max="7" width="20" customWidth="1"/>
    <col min="8" max="9" width="12" customWidth="1"/>
  </cols>
  <sheetData>
    <row r="1" spans="1:8" ht="18" customHeight="1" x14ac:dyDescent="0.25">
      <c r="A1" s="1" t="s">
        <v>0</v>
      </c>
    </row>
    <row r="2" spans="1:8" ht="38.1" customHeight="1" x14ac:dyDescent="0.25">
      <c r="A2" s="55" t="s">
        <v>1</v>
      </c>
      <c r="B2" s="56"/>
      <c r="C2" s="56"/>
      <c r="D2" s="56"/>
      <c r="E2" s="56"/>
      <c r="F2" s="56"/>
      <c r="G2" s="56"/>
      <c r="H2" s="56"/>
    </row>
    <row r="3" spans="1:8" x14ac:dyDescent="0.25">
      <c r="A3" s="2" t="s">
        <v>2</v>
      </c>
      <c r="B3" s="3">
        <v>95.61</v>
      </c>
      <c r="C3" s="2" t="s">
        <v>3</v>
      </c>
      <c r="D3" s="4">
        <v>30</v>
      </c>
      <c r="E3" s="2" t="s">
        <v>4</v>
      </c>
      <c r="F3" s="5">
        <v>1000</v>
      </c>
    </row>
    <row r="4" spans="1:8" x14ac:dyDescent="0.25">
      <c r="A4" s="2" t="s">
        <v>5</v>
      </c>
      <c r="B4" s="5">
        <v>20000</v>
      </c>
      <c r="C4" s="2" t="s">
        <v>6</v>
      </c>
      <c r="D4" s="4">
        <v>58</v>
      </c>
      <c r="E4" s="2" t="s">
        <v>7</v>
      </c>
      <c r="F4" s="4">
        <v>300</v>
      </c>
    </row>
    <row r="5" spans="1:8" x14ac:dyDescent="0.25">
      <c r="A5" s="2" t="s">
        <v>8</v>
      </c>
      <c r="B5" s="6">
        <v>1</v>
      </c>
      <c r="C5" s="2" t="s">
        <v>9</v>
      </c>
      <c r="D5" s="4">
        <v>2</v>
      </c>
      <c r="E5" s="2" t="s">
        <v>10</v>
      </c>
      <c r="F5" s="5">
        <v>3000</v>
      </c>
    </row>
    <row r="7" spans="1:8" x14ac:dyDescent="0.25">
      <c r="A7" s="7" t="s">
        <v>11</v>
      </c>
    </row>
    <row r="8" spans="1:8" x14ac:dyDescent="0.25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</row>
    <row r="9" spans="1:8" x14ac:dyDescent="0.25">
      <c r="A9" s="9" t="s">
        <v>18</v>
      </c>
      <c r="B9" s="10">
        <v>6.0000000000000001E-3</v>
      </c>
      <c r="C9" s="11">
        <f t="shared" ref="C9:C16" si="0">B9*$B$3</f>
        <v>0.57366000000000006</v>
      </c>
      <c r="D9" s="12">
        <f t="shared" ref="D9:D16" si="1">B9*$B$5</f>
        <v>6.0000000000000001E-3</v>
      </c>
      <c r="E9" s="11">
        <f t="shared" ref="E9:E16" si="2">D9*$B$3</f>
        <v>0.57366000000000006</v>
      </c>
      <c r="F9" s="13" t="s">
        <v>19</v>
      </c>
    </row>
    <row r="10" spans="1:8" x14ac:dyDescent="0.25">
      <c r="A10" s="14" t="s">
        <v>20</v>
      </c>
      <c r="B10" s="10">
        <v>3.0000000000000001E-3</v>
      </c>
      <c r="C10" s="11">
        <f t="shared" si="0"/>
        <v>0.28683000000000003</v>
      </c>
      <c r="D10" s="12">
        <f t="shared" si="1"/>
        <v>3.0000000000000001E-3</v>
      </c>
      <c r="E10" s="11">
        <f t="shared" si="2"/>
        <v>0.28683000000000003</v>
      </c>
      <c r="F10" s="13" t="s">
        <v>21</v>
      </c>
    </row>
    <row r="11" spans="1:8" x14ac:dyDescent="0.25">
      <c r="A11" s="14" t="s">
        <v>22</v>
      </c>
      <c r="B11" s="10">
        <v>4.7999999999999996E-3</v>
      </c>
      <c r="C11" s="11">
        <f t="shared" si="0"/>
        <v>0.45892799999999995</v>
      </c>
      <c r="D11" s="12">
        <f t="shared" si="1"/>
        <v>4.7999999999999996E-3</v>
      </c>
      <c r="E11" s="11">
        <f t="shared" si="2"/>
        <v>0.45892799999999995</v>
      </c>
      <c r="F11" s="13" t="s">
        <v>23</v>
      </c>
    </row>
    <row r="12" spans="1:8" x14ac:dyDescent="0.25">
      <c r="A12" s="14" t="s">
        <v>24</v>
      </c>
      <c r="B12" s="10">
        <v>4.1999999999999997E-3</v>
      </c>
      <c r="C12" s="11">
        <f t="shared" si="0"/>
        <v>0.40156199999999997</v>
      </c>
      <c r="D12" s="12">
        <f t="shared" si="1"/>
        <v>4.1999999999999997E-3</v>
      </c>
      <c r="E12" s="11">
        <f t="shared" si="2"/>
        <v>0.40156199999999997</v>
      </c>
      <c r="F12" s="13" t="s">
        <v>25</v>
      </c>
    </row>
    <row r="13" spans="1:8" x14ac:dyDescent="0.25">
      <c r="A13" s="14" t="s">
        <v>26</v>
      </c>
      <c r="B13" s="10">
        <v>5.8999999999999999E-3</v>
      </c>
      <c r="C13" s="11">
        <f t="shared" si="0"/>
        <v>0.56409900000000002</v>
      </c>
      <c r="D13" s="12">
        <f t="shared" si="1"/>
        <v>5.8999999999999999E-3</v>
      </c>
      <c r="E13" s="11">
        <f t="shared" si="2"/>
        <v>0.56409900000000002</v>
      </c>
      <c r="F13" s="13" t="s">
        <v>27</v>
      </c>
    </row>
    <row r="14" spans="1:8" x14ac:dyDescent="0.25">
      <c r="A14" s="14" t="s">
        <v>28</v>
      </c>
      <c r="B14" s="10">
        <v>6.4999999999999997E-3</v>
      </c>
      <c r="C14" s="11">
        <f t="shared" si="0"/>
        <v>0.62146499999999993</v>
      </c>
      <c r="D14" s="12">
        <f t="shared" si="1"/>
        <v>6.4999999999999997E-3</v>
      </c>
      <c r="E14" s="11">
        <f t="shared" si="2"/>
        <v>0.62146499999999993</v>
      </c>
      <c r="F14" s="13" t="s">
        <v>29</v>
      </c>
    </row>
    <row r="15" spans="1:8" x14ac:dyDescent="0.25">
      <c r="A15" s="14" t="s">
        <v>30</v>
      </c>
      <c r="B15" s="10">
        <v>7.1000000000000004E-3</v>
      </c>
      <c r="C15" s="11">
        <f t="shared" si="0"/>
        <v>0.67883100000000007</v>
      </c>
      <c r="D15" s="12">
        <f t="shared" si="1"/>
        <v>7.1000000000000004E-3</v>
      </c>
      <c r="E15" s="11">
        <f t="shared" si="2"/>
        <v>0.67883100000000007</v>
      </c>
      <c r="F15" s="13" t="s">
        <v>31</v>
      </c>
    </row>
    <row r="16" spans="1:8" x14ac:dyDescent="0.25">
      <c r="A16" s="14" t="s">
        <v>32</v>
      </c>
      <c r="B16" s="10">
        <v>2.2499999999999999E-2</v>
      </c>
      <c r="C16" s="11">
        <f t="shared" si="0"/>
        <v>2.1512249999999997</v>
      </c>
      <c r="D16" s="12">
        <f t="shared" si="1"/>
        <v>2.2499999999999999E-2</v>
      </c>
      <c r="E16" s="11">
        <f t="shared" si="2"/>
        <v>2.1512249999999997</v>
      </c>
      <c r="F16" s="13" t="s">
        <v>33</v>
      </c>
    </row>
    <row r="18" spans="1:6" x14ac:dyDescent="0.25">
      <c r="A18" s="7" t="s">
        <v>34</v>
      </c>
    </row>
    <row r="19" spans="1:6" x14ac:dyDescent="0.25">
      <c r="A19" s="8" t="s">
        <v>12</v>
      </c>
      <c r="B19" s="8" t="s">
        <v>35</v>
      </c>
      <c r="C19" s="8" t="s">
        <v>36</v>
      </c>
      <c r="D19" s="8" t="s">
        <v>15</v>
      </c>
      <c r="E19" s="8" t="s">
        <v>16</v>
      </c>
      <c r="F19" s="8" t="s">
        <v>17</v>
      </c>
    </row>
    <row r="20" spans="1:6" x14ac:dyDescent="0.25">
      <c r="A20" s="9" t="s">
        <v>37</v>
      </c>
      <c r="B20" s="15">
        <v>0.4</v>
      </c>
      <c r="C20" s="15">
        <v>1.6</v>
      </c>
      <c r="D20" s="12">
        <f>(B20*$B$4+C20*$D$4)/1000000</f>
        <v>8.0928000000000007E-3</v>
      </c>
      <c r="E20" s="11">
        <f t="shared" ref="E20:E27" si="3">D20*$B$3</f>
        <v>0.77375260800000001</v>
      </c>
      <c r="F20" s="13" t="s">
        <v>38</v>
      </c>
    </row>
    <row r="21" spans="1:6" x14ac:dyDescent="0.25">
      <c r="A21" s="26" t="s">
        <v>39</v>
      </c>
      <c r="B21" s="27">
        <v>0.2</v>
      </c>
      <c r="C21" s="27">
        <v>1.25</v>
      </c>
      <c r="D21" s="12">
        <f>(B21*$B$4+C21*$D$4)/1000000</f>
        <v>4.0724999999999997E-3</v>
      </c>
      <c r="E21" s="11">
        <f t="shared" si="3"/>
        <v>0.38937172499999995</v>
      </c>
      <c r="F21" s="28" t="s">
        <v>40</v>
      </c>
    </row>
    <row r="22" spans="1:6" x14ac:dyDescent="0.25">
      <c r="A22" s="14" t="s">
        <v>41</v>
      </c>
      <c r="B22" s="15">
        <v>0.4</v>
      </c>
      <c r="C22" s="15">
        <v>1.6</v>
      </c>
      <c r="D22" s="12">
        <f>(B22*$F$5+C22*$D$4)/1000000</f>
        <v>1.2928E-3</v>
      </c>
      <c r="E22" s="11">
        <f t="shared" si="3"/>
        <v>0.12360460799999999</v>
      </c>
      <c r="F22" s="13" t="s">
        <v>42</v>
      </c>
    </row>
    <row r="23" spans="1:6" x14ac:dyDescent="0.25">
      <c r="A23" s="16" t="s">
        <v>43</v>
      </c>
      <c r="B23" s="15">
        <v>0.1</v>
      </c>
      <c r="C23" s="15">
        <v>0.4</v>
      </c>
      <c r="D23" s="12">
        <f>(B23*$B$4+C23*$D$4)/1000000</f>
        <v>2.0232000000000002E-3</v>
      </c>
      <c r="E23" s="11">
        <f t="shared" si="3"/>
        <v>0.193438152</v>
      </c>
      <c r="F23" s="13" t="s">
        <v>44</v>
      </c>
    </row>
    <row r="24" spans="1:6" x14ac:dyDescent="0.25">
      <c r="A24" s="16" t="s">
        <v>45</v>
      </c>
      <c r="B24" s="15">
        <v>0.05</v>
      </c>
      <c r="C24" s="15">
        <v>0.4</v>
      </c>
      <c r="D24" s="12">
        <f>(B24*$B$4+C24*$D$4)/1000000</f>
        <v>1.0232000000000002E-3</v>
      </c>
      <c r="E24" s="11">
        <f t="shared" si="3"/>
        <v>9.7828152000000015E-2</v>
      </c>
      <c r="F24" s="13" t="s">
        <v>46</v>
      </c>
    </row>
    <row r="25" spans="1:6" x14ac:dyDescent="0.25">
      <c r="A25" s="16" t="s">
        <v>47</v>
      </c>
      <c r="B25" s="17">
        <f>2.5/$B$3</f>
        <v>2.6147892479866122E-2</v>
      </c>
      <c r="C25" s="17">
        <f>10/$B$3</f>
        <v>0.10459156991946449</v>
      </c>
      <c r="D25" s="12">
        <f>(B25*$B$4+C25*$D$4)/1000000</f>
        <v>5.2902416065265146E-4</v>
      </c>
      <c r="E25" s="11">
        <f t="shared" si="3"/>
        <v>5.0580000000000007E-2</v>
      </c>
      <c r="F25" s="13" t="s">
        <v>48</v>
      </c>
    </row>
    <row r="26" spans="1:6" x14ac:dyDescent="0.25">
      <c r="A26" s="14" t="s">
        <v>49</v>
      </c>
      <c r="B26" s="15">
        <v>0.12</v>
      </c>
      <c r="C26" s="15">
        <v>0.35</v>
      </c>
      <c r="D26" s="12">
        <f>(B26*$B$4+C26*$D$4)/1000000</f>
        <v>2.4203000000000002E-3</v>
      </c>
      <c r="E26" s="11">
        <f t="shared" si="3"/>
        <v>0.23140488300000003</v>
      </c>
      <c r="F26" s="13" t="s">
        <v>50</v>
      </c>
    </row>
    <row r="27" spans="1:6" x14ac:dyDescent="0.25">
      <c r="A27" s="14" t="s">
        <v>51</v>
      </c>
      <c r="B27" s="27">
        <v>0.25</v>
      </c>
      <c r="C27" s="27">
        <v>2</v>
      </c>
      <c r="D27" s="12">
        <f>(B27*$B$4+C27*$D$4)/1000000</f>
        <v>5.1159999999999999E-3</v>
      </c>
      <c r="E27" s="11">
        <f t="shared" si="3"/>
        <v>0.48914076000000001</v>
      </c>
      <c r="F27" s="28" t="s">
        <v>52</v>
      </c>
    </row>
    <row r="29" spans="1:6" x14ac:dyDescent="0.25">
      <c r="A29" s="7" t="s">
        <v>53</v>
      </c>
    </row>
    <row r="30" spans="1:6" x14ac:dyDescent="0.25">
      <c r="A30" s="8" t="s">
        <v>12</v>
      </c>
      <c r="B30" s="8" t="s">
        <v>54</v>
      </c>
      <c r="C30" s="8" t="s">
        <v>55</v>
      </c>
      <c r="D30" s="8" t="s">
        <v>15</v>
      </c>
      <c r="E30" s="8" t="s">
        <v>16</v>
      </c>
      <c r="F30" s="8" t="s">
        <v>17</v>
      </c>
    </row>
    <row r="31" spans="1:6" x14ac:dyDescent="0.25">
      <c r="A31" s="9" t="s">
        <v>56</v>
      </c>
      <c r="B31" s="18">
        <v>0.1</v>
      </c>
      <c r="C31" s="19">
        <f t="shared" ref="C31:C39" si="4">B31*$B$3</f>
        <v>9.5609999999999999</v>
      </c>
      <c r="D31" s="12">
        <f t="shared" ref="D31:D39" si="5">B31/1000*$F$4</f>
        <v>3.0000000000000002E-2</v>
      </c>
      <c r="E31" s="11">
        <f t="shared" ref="E31:E39" si="6">D31*$B$3</f>
        <v>2.8683000000000001</v>
      </c>
      <c r="F31" s="13" t="s">
        <v>57</v>
      </c>
    </row>
    <row r="32" spans="1:6" x14ac:dyDescent="0.25">
      <c r="A32" s="14" t="s">
        <v>58</v>
      </c>
      <c r="B32" s="18">
        <v>0.05</v>
      </c>
      <c r="C32" s="19">
        <f t="shared" si="4"/>
        <v>4.7805</v>
      </c>
      <c r="D32" s="12">
        <f t="shared" si="5"/>
        <v>1.5000000000000001E-2</v>
      </c>
      <c r="E32" s="11">
        <f t="shared" si="6"/>
        <v>1.43415</v>
      </c>
      <c r="F32" s="13" t="s">
        <v>59</v>
      </c>
    </row>
    <row r="33" spans="1:9" x14ac:dyDescent="0.25">
      <c r="A33" s="16" t="s">
        <v>60</v>
      </c>
      <c r="B33" s="20">
        <f>1.5/$B$3</f>
        <v>1.5688735487919672E-2</v>
      </c>
      <c r="C33" s="19">
        <f t="shared" si="4"/>
        <v>1.4999999999999998</v>
      </c>
      <c r="D33" s="12">
        <f t="shared" si="5"/>
        <v>4.7066206463759015E-3</v>
      </c>
      <c r="E33" s="11">
        <f t="shared" si="6"/>
        <v>0.44999999999999996</v>
      </c>
      <c r="F33" s="13" t="s">
        <v>61</v>
      </c>
    </row>
    <row r="34" spans="1:9" x14ac:dyDescent="0.25">
      <c r="A34" s="16" t="s">
        <v>62</v>
      </c>
      <c r="B34" s="20">
        <f>3/$B$3</f>
        <v>3.1377470975839344E-2</v>
      </c>
      <c r="C34" s="19">
        <f t="shared" si="4"/>
        <v>2.9999999999999996</v>
      </c>
      <c r="D34" s="12">
        <f t="shared" si="5"/>
        <v>9.413241292751803E-3</v>
      </c>
      <c r="E34" s="11">
        <f t="shared" si="6"/>
        <v>0.89999999999999991</v>
      </c>
      <c r="F34" s="13" t="s">
        <v>63</v>
      </c>
    </row>
    <row r="35" spans="1:9" x14ac:dyDescent="0.25">
      <c r="A35" s="14" t="s">
        <v>64</v>
      </c>
      <c r="B35" s="18">
        <v>1.7500000000000002E-2</v>
      </c>
      <c r="C35" s="19">
        <f t="shared" si="4"/>
        <v>1.6731750000000001</v>
      </c>
      <c r="D35" s="12">
        <f t="shared" si="5"/>
        <v>5.2500000000000003E-3</v>
      </c>
      <c r="E35" s="11">
        <f t="shared" si="6"/>
        <v>0.50195250000000002</v>
      </c>
      <c r="F35" s="13" t="s">
        <v>65</v>
      </c>
    </row>
    <row r="36" spans="1:9" x14ac:dyDescent="0.25">
      <c r="A36" s="14" t="s">
        <v>66</v>
      </c>
      <c r="B36" s="18">
        <v>0.03</v>
      </c>
      <c r="C36" s="19">
        <f t="shared" si="4"/>
        <v>2.8683000000000001</v>
      </c>
      <c r="D36" s="12">
        <f t="shared" si="5"/>
        <v>8.9999999999999993E-3</v>
      </c>
      <c r="E36" s="11">
        <f t="shared" si="6"/>
        <v>0.86048999999999998</v>
      </c>
      <c r="F36" s="13" t="s">
        <v>67</v>
      </c>
    </row>
    <row r="37" spans="1:9" x14ac:dyDescent="0.25">
      <c r="A37" s="14" t="s">
        <v>68</v>
      </c>
      <c r="B37" s="18">
        <v>2.7E-2</v>
      </c>
      <c r="C37" s="19">
        <f t="shared" si="4"/>
        <v>2.5814699999999999</v>
      </c>
      <c r="D37" s="12">
        <f t="shared" si="5"/>
        <v>8.0999999999999996E-3</v>
      </c>
      <c r="E37" s="11">
        <f t="shared" si="6"/>
        <v>0.77444099999999993</v>
      </c>
      <c r="F37" s="13" t="s">
        <v>69</v>
      </c>
    </row>
    <row r="38" spans="1:9" x14ac:dyDescent="0.25">
      <c r="A38" s="14" t="s">
        <v>70</v>
      </c>
      <c r="B38" s="18">
        <v>0.01</v>
      </c>
      <c r="C38" s="19">
        <f t="shared" si="4"/>
        <v>0.95610000000000006</v>
      </c>
      <c r="D38" s="12">
        <f t="shared" si="5"/>
        <v>3.0000000000000001E-3</v>
      </c>
      <c r="E38" s="11">
        <f t="shared" si="6"/>
        <v>0.28683000000000003</v>
      </c>
      <c r="F38" s="13" t="s">
        <v>71</v>
      </c>
    </row>
    <row r="39" spans="1:9" x14ac:dyDescent="0.25">
      <c r="A39" s="14" t="s">
        <v>72</v>
      </c>
      <c r="B39" s="45">
        <v>2.5000000000000001E-2</v>
      </c>
      <c r="C39" s="19">
        <f t="shared" si="4"/>
        <v>2.39025</v>
      </c>
      <c r="D39" s="12">
        <f t="shared" si="5"/>
        <v>7.5000000000000006E-3</v>
      </c>
      <c r="E39" s="11">
        <f t="shared" si="6"/>
        <v>0.71707500000000002</v>
      </c>
      <c r="F39" s="46" t="s">
        <v>73</v>
      </c>
    </row>
    <row r="40" spans="1:9" x14ac:dyDescent="0.25">
      <c r="A40" s="7" t="s">
        <v>74</v>
      </c>
    </row>
    <row r="41" spans="1:9" x14ac:dyDescent="0.25">
      <c r="A41" s="8" t="s">
        <v>75</v>
      </c>
      <c r="B41" s="8" t="s">
        <v>76</v>
      </c>
      <c r="C41" s="8"/>
      <c r="D41" s="8" t="s">
        <v>15</v>
      </c>
      <c r="E41" s="8" t="s">
        <v>16</v>
      </c>
      <c r="F41" s="8" t="s">
        <v>17</v>
      </c>
    </row>
    <row r="42" spans="1:9" x14ac:dyDescent="0.25">
      <c r="A42" s="14" t="s">
        <v>77</v>
      </c>
      <c r="B42" s="10">
        <v>0</v>
      </c>
      <c r="D42" s="12">
        <f>B42</f>
        <v>0</v>
      </c>
      <c r="E42" s="11">
        <f>D42*$B$3</f>
        <v>0</v>
      </c>
      <c r="F42" s="13" t="s">
        <v>78</v>
      </c>
    </row>
    <row r="43" spans="1:9" x14ac:dyDescent="0.25">
      <c r="A43" s="14" t="s">
        <v>79</v>
      </c>
      <c r="B43" s="10">
        <v>5.0000000000000001E-4</v>
      </c>
      <c r="D43" s="12">
        <f>B43*$D$5</f>
        <v>1E-3</v>
      </c>
      <c r="E43" s="11">
        <f>D43*$B$3</f>
        <v>9.5610000000000001E-2</v>
      </c>
      <c r="F43" s="13" t="s">
        <v>80</v>
      </c>
    </row>
    <row r="44" spans="1:9" x14ac:dyDescent="0.25">
      <c r="A44" s="13" t="s">
        <v>81</v>
      </c>
    </row>
    <row r="46" spans="1:9" x14ac:dyDescent="0.25">
      <c r="A46" s="7" t="s">
        <v>82</v>
      </c>
    </row>
    <row r="47" spans="1:9" x14ac:dyDescent="0.25">
      <c r="A47" s="8" t="s">
        <v>83</v>
      </c>
      <c r="B47" s="8" t="s">
        <v>84</v>
      </c>
      <c r="C47" s="8" t="s">
        <v>85</v>
      </c>
      <c r="D47" s="8" t="s">
        <v>86</v>
      </c>
      <c r="E47" s="8" t="s">
        <v>87</v>
      </c>
      <c r="F47" s="8" t="s">
        <v>88</v>
      </c>
      <c r="G47" s="8" t="s">
        <v>89</v>
      </c>
      <c r="H47" s="24" t="s">
        <v>90</v>
      </c>
      <c r="I47" s="24" t="s">
        <v>91</v>
      </c>
    </row>
    <row r="48" spans="1:9" x14ac:dyDescent="0.25">
      <c r="A48" s="9" t="s">
        <v>92</v>
      </c>
      <c r="B48" s="13" t="s">
        <v>93</v>
      </c>
      <c r="C48" s="12">
        <f>D9+D20+D31+D42+D43</f>
        <v>4.5092800000000002E-2</v>
      </c>
      <c r="D48" s="11">
        <f t="shared" ref="D48:D58" si="7">C48*$B$3</f>
        <v>4.3113226080000002</v>
      </c>
      <c r="E48" s="17">
        <f t="shared" ref="E48:E58" si="8">C48*$D$3</f>
        <v>1.352784</v>
      </c>
      <c r="F48" s="21">
        <f t="shared" ref="F48:F58" si="9">E48*30</f>
        <v>40.58352</v>
      </c>
      <c r="G48" s="22">
        <f t="shared" ref="G48:G58" si="10">F48*$B$3</f>
        <v>3880.1903471999999</v>
      </c>
      <c r="H48" s="17">
        <f t="shared" ref="H48:H58" si="11">C48*60</f>
        <v>2.705568</v>
      </c>
      <c r="I48" s="25">
        <f t="shared" ref="I48:I58" si="12">H48*$B$3</f>
        <v>258.67935648000002</v>
      </c>
    </row>
    <row r="49" spans="1:9" x14ac:dyDescent="0.25">
      <c r="A49" s="16" t="s">
        <v>94</v>
      </c>
      <c r="B49" s="13" t="s">
        <v>95</v>
      </c>
      <c r="C49" s="12">
        <f>D9+D22+D32+D42+D43</f>
        <v>2.3292800000000002E-2</v>
      </c>
      <c r="D49" s="11">
        <f t="shared" si="7"/>
        <v>2.2270246080000002</v>
      </c>
      <c r="E49" s="17">
        <f t="shared" si="8"/>
        <v>0.69878400000000007</v>
      </c>
      <c r="F49" s="21">
        <f t="shared" si="9"/>
        <v>20.963520000000003</v>
      </c>
      <c r="G49" s="22">
        <f t="shared" si="10"/>
        <v>2004.3221472000002</v>
      </c>
      <c r="H49" s="17">
        <f t="shared" si="11"/>
        <v>1.3975680000000001</v>
      </c>
      <c r="I49" s="25">
        <f t="shared" si="12"/>
        <v>133.62147648000001</v>
      </c>
    </row>
    <row r="50" spans="1:9" x14ac:dyDescent="0.25">
      <c r="A50" s="16" t="s">
        <v>96</v>
      </c>
      <c r="B50" s="13" t="s">
        <v>97</v>
      </c>
      <c r="C50" s="12">
        <f>D9+D23+D33+D42+D43</f>
        <v>1.3729820646375904E-2</v>
      </c>
      <c r="D50" s="11">
        <f t="shared" si="7"/>
        <v>1.3127081520000001</v>
      </c>
      <c r="E50" s="17">
        <f t="shared" si="8"/>
        <v>0.41189461939127714</v>
      </c>
      <c r="F50" s="21">
        <f t="shared" si="9"/>
        <v>12.356838581738314</v>
      </c>
      <c r="G50" s="22">
        <f t="shared" si="10"/>
        <v>1181.4373368000001</v>
      </c>
      <c r="H50" s="17">
        <f t="shared" si="11"/>
        <v>0.82378923878255428</v>
      </c>
      <c r="I50" s="25">
        <f t="shared" si="12"/>
        <v>78.762489120000012</v>
      </c>
    </row>
    <row r="51" spans="1:9" x14ac:dyDescent="0.25">
      <c r="A51" s="16" t="s">
        <v>98</v>
      </c>
      <c r="B51" s="13" t="s">
        <v>99</v>
      </c>
      <c r="C51" s="12">
        <f>D9+D23+D34+D42+D43</f>
        <v>1.8436441292751807E-2</v>
      </c>
      <c r="D51" s="11">
        <f t="shared" si="7"/>
        <v>1.7627081520000003</v>
      </c>
      <c r="E51" s="17">
        <f t="shared" si="8"/>
        <v>0.55309323878255423</v>
      </c>
      <c r="F51" s="21">
        <f t="shared" si="9"/>
        <v>16.592797163476625</v>
      </c>
      <c r="G51" s="22">
        <f t="shared" si="10"/>
        <v>1586.4373368000001</v>
      </c>
      <c r="H51" s="17">
        <f t="shared" si="11"/>
        <v>1.1061864775651085</v>
      </c>
      <c r="I51" s="25">
        <f t="shared" si="12"/>
        <v>105.76248912000003</v>
      </c>
    </row>
    <row r="52" spans="1:9" x14ac:dyDescent="0.25">
      <c r="A52" s="2" t="s">
        <v>100</v>
      </c>
      <c r="B52" s="13" t="s">
        <v>101</v>
      </c>
      <c r="C52" s="12">
        <f>D11+D26+D36+D42+D43</f>
        <v>1.7220300000000001E-2</v>
      </c>
      <c r="D52" s="11">
        <f t="shared" si="7"/>
        <v>1.6464328830000001</v>
      </c>
      <c r="E52" s="17">
        <f t="shared" si="8"/>
        <v>0.51660899999999998</v>
      </c>
      <c r="F52" s="21">
        <f t="shared" si="9"/>
        <v>15.49827</v>
      </c>
      <c r="G52" s="22">
        <f t="shared" si="10"/>
        <v>1481.7895947</v>
      </c>
      <c r="H52" s="17">
        <f t="shared" si="11"/>
        <v>1.033218</v>
      </c>
      <c r="I52" s="25">
        <f t="shared" si="12"/>
        <v>98.785972979999997</v>
      </c>
    </row>
    <row r="53" spans="1:9" x14ac:dyDescent="0.25">
      <c r="A53" s="2" t="s">
        <v>102</v>
      </c>
      <c r="B53" s="13" t="s">
        <v>103</v>
      </c>
      <c r="C53" s="12">
        <f>MIN(D9:D16)+MIN(D20:D27)+MIN(D31:D38)+D42+D43</f>
        <v>7.5290241606526514E-3</v>
      </c>
      <c r="D53" s="11">
        <f t="shared" si="7"/>
        <v>0.71984999999999999</v>
      </c>
      <c r="E53" s="17">
        <f t="shared" si="8"/>
        <v>0.22587072481957954</v>
      </c>
      <c r="F53" s="21">
        <f t="shared" si="9"/>
        <v>6.7761217445873863</v>
      </c>
      <c r="G53" s="22">
        <f t="shared" si="10"/>
        <v>647.86500000000001</v>
      </c>
      <c r="H53" s="17">
        <f t="shared" si="11"/>
        <v>0.45174144963915908</v>
      </c>
      <c r="I53" s="25">
        <f t="shared" si="12"/>
        <v>43.191000000000003</v>
      </c>
    </row>
    <row r="54" spans="1:9" x14ac:dyDescent="0.25">
      <c r="A54" s="29" t="s">
        <v>104</v>
      </c>
      <c r="B54" s="30" t="s">
        <v>105</v>
      </c>
      <c r="C54" s="31">
        <f>D10+D24+D34+D42+D43</f>
        <v>1.4436441292751803E-2</v>
      </c>
      <c r="D54" s="32">
        <f t="shared" si="7"/>
        <v>1.380268152</v>
      </c>
      <c r="E54" s="33">
        <f t="shared" si="8"/>
        <v>0.43309323878255412</v>
      </c>
      <c r="F54" s="34">
        <f t="shared" si="9"/>
        <v>12.992797163476624</v>
      </c>
      <c r="G54" s="35">
        <f t="shared" si="10"/>
        <v>1242.2413368</v>
      </c>
      <c r="H54" s="33">
        <f t="shared" si="11"/>
        <v>0.86618647756510825</v>
      </c>
      <c r="I54" s="36">
        <f t="shared" si="12"/>
        <v>82.816089120000001</v>
      </c>
    </row>
    <row r="55" spans="1:9" x14ac:dyDescent="0.25">
      <c r="A55" s="37" t="s">
        <v>106</v>
      </c>
      <c r="B55" s="38" t="s">
        <v>107</v>
      </c>
      <c r="C55" s="39">
        <f>D10+D27+D34+D42+D43</f>
        <v>1.8529241292751804E-2</v>
      </c>
      <c r="D55" s="40">
        <f t="shared" si="7"/>
        <v>1.77158076</v>
      </c>
      <c r="E55" s="41">
        <f t="shared" si="8"/>
        <v>0.55587723878255413</v>
      </c>
      <c r="F55" s="42">
        <f t="shared" si="9"/>
        <v>16.676317163476625</v>
      </c>
      <c r="G55" s="43">
        <f t="shared" si="10"/>
        <v>1594.4226840000001</v>
      </c>
      <c r="H55" s="41">
        <f t="shared" si="11"/>
        <v>1.1117544775651083</v>
      </c>
      <c r="I55" s="44">
        <f t="shared" si="12"/>
        <v>106.2948456</v>
      </c>
    </row>
    <row r="56" spans="1:9" x14ac:dyDescent="0.25">
      <c r="A56" s="37" t="s">
        <v>108</v>
      </c>
      <c r="B56" s="38" t="s">
        <v>109</v>
      </c>
      <c r="C56" s="39">
        <f>D10+D20+D34+D42+D43</f>
        <v>2.1506041292751805E-2</v>
      </c>
      <c r="D56" s="40">
        <f t="shared" si="7"/>
        <v>2.0561926079999999</v>
      </c>
      <c r="E56" s="41">
        <f t="shared" si="8"/>
        <v>0.64518123878255418</v>
      </c>
      <c r="F56" s="42">
        <f t="shared" si="9"/>
        <v>19.355437163476626</v>
      </c>
      <c r="G56" s="43">
        <f t="shared" si="10"/>
        <v>1850.5733472000002</v>
      </c>
      <c r="H56" s="41">
        <f t="shared" si="11"/>
        <v>1.2903624775651084</v>
      </c>
      <c r="I56" s="44">
        <f t="shared" si="12"/>
        <v>123.37155648000001</v>
      </c>
    </row>
    <row r="57" spans="1:9" x14ac:dyDescent="0.25">
      <c r="A57" s="47" t="s">
        <v>110</v>
      </c>
      <c r="B57" s="48" t="s">
        <v>111</v>
      </c>
      <c r="C57" s="49">
        <f>D9+D26+D34+D42+D43</f>
        <v>1.8833541292751804E-2</v>
      </c>
      <c r="D57" s="50">
        <f t="shared" si="7"/>
        <v>1.8006748829999999</v>
      </c>
      <c r="E57" s="51">
        <f t="shared" si="8"/>
        <v>0.56500623878255407</v>
      </c>
      <c r="F57" s="52">
        <f t="shared" si="9"/>
        <v>16.95018716347662</v>
      </c>
      <c r="G57" s="53">
        <f t="shared" si="10"/>
        <v>1620.6073946999998</v>
      </c>
      <c r="H57" s="51">
        <f t="shared" si="11"/>
        <v>1.1300124775651081</v>
      </c>
      <c r="I57" s="54">
        <f t="shared" si="12"/>
        <v>108.04049297999998</v>
      </c>
    </row>
    <row r="58" spans="1:9" x14ac:dyDescent="0.25">
      <c r="A58" s="47" t="s">
        <v>112</v>
      </c>
      <c r="B58" s="48" t="s">
        <v>113</v>
      </c>
      <c r="C58" s="49">
        <f>D9+D26+D31+D42+D43</f>
        <v>3.9420300000000005E-2</v>
      </c>
      <c r="D58" s="50">
        <f t="shared" si="7"/>
        <v>3.7689748830000003</v>
      </c>
      <c r="E58" s="51">
        <f t="shared" si="8"/>
        <v>1.1826090000000002</v>
      </c>
      <c r="F58" s="52">
        <f t="shared" si="9"/>
        <v>35.478270000000009</v>
      </c>
      <c r="G58" s="53">
        <f t="shared" si="10"/>
        <v>3392.0773947000007</v>
      </c>
      <c r="H58" s="51">
        <f t="shared" si="11"/>
        <v>2.3652180000000005</v>
      </c>
      <c r="I58" s="54">
        <f t="shared" si="12"/>
        <v>226.13849298000005</v>
      </c>
    </row>
    <row r="59" spans="1:9" x14ac:dyDescent="0.25">
      <c r="A59" s="14" t="s">
        <v>114</v>
      </c>
      <c r="B59" s="4">
        <v>60</v>
      </c>
      <c r="C59" s="22">
        <f>$C$48*B59*30*$B$3</f>
        <v>7760.3806943999998</v>
      </c>
      <c r="D59" s="23">
        <f>$C$49*B59*30*$B$3</f>
        <v>4008.6442944000005</v>
      </c>
      <c r="E59" s="23">
        <f>$C$50*B59*30*$B$3</f>
        <v>2362.8746736000003</v>
      </c>
      <c r="F59" s="23">
        <f>$C$51*B59*30*$B$3</f>
        <v>3172.8746736000003</v>
      </c>
      <c r="G59" s="22">
        <f>E59*$F$3</f>
        <v>2362874.6736000003</v>
      </c>
    </row>
    <row r="62" spans="1:9" x14ac:dyDescent="0.25">
      <c r="A62" s="2" t="s">
        <v>115</v>
      </c>
    </row>
    <row r="63" spans="1:9" x14ac:dyDescent="0.25">
      <c r="A63" s="13" t="s">
        <v>116</v>
      </c>
    </row>
    <row r="64" spans="1:9" x14ac:dyDescent="0.25">
      <c r="A64" s="13" t="s">
        <v>117</v>
      </c>
    </row>
    <row r="65" spans="1:1" x14ac:dyDescent="0.25">
      <c r="A65" s="13" t="s">
        <v>118</v>
      </c>
    </row>
    <row r="66" spans="1:1" x14ac:dyDescent="0.25">
      <c r="A66" s="13" t="s">
        <v>119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Craftech360</cp:lastModifiedBy>
  <dcterms:created xsi:type="dcterms:W3CDTF">2026-07-10T10:48:34Z</dcterms:created>
  <dcterms:modified xsi:type="dcterms:W3CDTF">2026-07-10T12:15:59Z</dcterms:modified>
</cp:coreProperties>
</file>